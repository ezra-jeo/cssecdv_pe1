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05fe8ad773e4c3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READ Matrix" sheetId="1" r:id="Rf6f78b72ac534ad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4">
    <x:font>
      <x:sz val="11"/>
      <x:name val="Carlito"/>
    </x:font>
    <x:font>
      <x:sz val="10"/>
      <x:color rgb="FF24303B"/>
      <x:name val="Arial"/>
    </x:font>
    <x:font>
      <x:b/>
      <x:sz val="10"/>
      <x:color rgb="FFFFFFFF"/>
      <x:name val="Arial"/>
    </x:font>
    <x:font>
      <x:b/>
      <x:sz val="10"/>
      <x:color rgb="FF24303B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43E55"/>
      </x:patternFill>
    </x:fill>
    <x:fill>
      <x:patternFill patternType="solid">
        <x:fgColor rgb="FFEDF2F6"/>
      </x:patternFill>
    </x:fill>
  </x:fills>
  <x:borders count="4">
    <x:border>
      <x:left/>
      <x:right/>
      <x:top/>
      <x:bottom/>
      <x:diagonal/>
    </x:border>
    <x:border>
      <x:left/>
      <x:right style="thin">
        <x:color rgb="FFFFFFFF"/>
      </x:right>
      <x:top/>
      <x:bottom/>
      <x:diagonal/>
    </x:border>
    <x:border>
      <x:left style="thin">
        <x:color rgb="FFFFFFFF"/>
      </x:left>
      <x:right style="thin">
        <x:color rgb="FFFFFFFF"/>
      </x:right>
      <x:top/>
      <x:bottom/>
      <x:diagonal/>
    </x:border>
    <x:border>
      <x:left style="thin">
        <x:color rgb="FFFFFFFF"/>
      </x:left>
      <x:right/>
      <x:top/>
      <x:bottom/>
      <x:diagonal/>
    </x:border>
  </x:borders>
  <x:cellStyleXfs count="1">
    <x:xf numFmtId="0" fontId="0" fillId="0" borderId="0"/>
  </x:cellStyleXfs>
  <x:cellXfs count="20">
    <x:xf numFmtId="0" fontId="0" fillId="0" borderId="0" xfId="0"/>
    <x:xf numFmtId="0" fontId="1" fillId="0" borderId="0" xfId="0" applyNumberFormat="1" applyFont="1" applyFill="1" applyBorder="1"/>
    <x:xf numFmtId="0" fontId="0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/>
    </x:xf>
    <x:xf numFmtId="0" fontId="2" fillId="2" borderId="2" xfId="0" applyNumberFormat="1" applyFont="1" applyFill="1" applyBorder="1" applyAlignment="1">
      <x:alignment vertical="center"/>
    </x:xf>
    <x:xf numFmtId="0" fontId="2" fillId="2" borderId="3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 wrapText="1"/>
    </x:xf>
    <x:xf numFmtId="0" fontId="2" fillId="2" borderId="2" xfId="0" applyNumberFormat="1" applyFont="1" applyFill="1" applyBorder="1" applyAlignment="1">
      <x:alignment vertical="center" wrapText="1"/>
    </x:xf>
    <x:xf numFmtId="0" fontId="2" fillId="2" borderId="3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2" fillId="2" borderId="2" xfId="0" applyNumberFormat="1" applyFont="1" applyFill="1" applyBorder="1" applyAlignment="1">
      <x:alignment horizontal="center" vertical="center" wrapText="1"/>
    </x:xf>
    <x:xf numFmtId="0" fontId="2" fillId="2" borderId="3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horizontal="right" vertical="center"/>
    </x:xf>
    <x:xf numFmtId="200" fontId="1" fillId="0" borderId="0" xfId="0" applyNumberFormat="1" applyFont="1" applyFill="1" applyBorder="1" applyAlignment="1">
      <x:alignment horizontal="right" vertical="center"/>
    </x:xf>
    <x:xf numFmtId="200" fontId="1" fillId="3" borderId="0" xfId="0" applyNumberFormat="1" applyFont="1" applyFill="1" applyBorder="1" applyAlignment="1">
      <x:alignment horizontal="right" vertical="center"/>
    </x:xf>
    <x:xf numFmtId="200" fontId="3" fillId="3" borderId="0" xfId="0" applyNumberFormat="1" applyFont="1" applyFill="1" applyBorder="1" applyAlignment="1">
      <x:alignment horizontal="right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4ccfef6e07f4872" /><Relationship Type="http://schemas.openxmlformats.org/officeDocument/2006/relationships/theme" Target="/xl/theme/theme1.xml" Id="R645a4fdc296c4041" /><Relationship Type="http://schemas.openxmlformats.org/officeDocument/2006/relationships/sharedStrings" Target="/xl/sharedStrings.xml" Id="Rfeaae8d6268e4b6d" /><Relationship Type="http://schemas.openxmlformats.org/officeDocument/2006/relationships/worksheet" Target="/xl/worksheets/sheet1.xml" Id="Rf6f78b72ac534ad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243E55"/>
  </x:sheetPr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63.75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.75" hidden="0" customWidth="1"/>
    <x:col min="11" max="11" width="7.5" hidden="0" customWidth="1"/>
    <x:col min="12" max="12" width="46.25" hidden="0" customWidth="1"/>
    <x:col min="13" max="13" width="111.25" hidden="0" customWidth="1"/>
  </x:cols>
  <x:sheetData>
    <x:row r="1" ht="42" customHeight="1">
      <x:c r="A1" s="12" t="str">
        <x:v>Vulnerability</x:v>
      </x:c>
      <x:c r="B1" s="13" t="str">
        <x:v>Scoring Weight</x:v>
      </x:c>
      <x:c r="C1" s="13" t="str">
        <x:v>Damage Potential</x:v>
      </x:c>
      <x:c r="D1" s="13" t="str">
        <x:v>Reproducibility</x:v>
      </x:c>
      <x:c r="E1" s="13" t="str">
        <x:v>Exploitability</x:v>
      </x:c>
      <x:c r="F1" s="13" t="str">
        <x:v>Affected Users</x:v>
      </x:c>
      <x:c r="G1" s="13" t="str">
        <x:v>Discoverability</x:v>
      </x:c>
      <x:c r="H1" s="13" t="str">
        <x:v>Probability</x:v>
      </x:c>
      <x:c r="I1" s="13" t="str">
        <x:v>Impact</x:v>
      </x:c>
      <x:c r="J1" s="13" t="str">
        <x:v>Overall Risk</x:v>
      </x:c>
      <x:c r="K1" s="13" t="str">
        <x:v>Rank</x:v>
      </x:c>
      <x:c r="L1" s="13" t="str">
        <x:v>CWE Source URL</x:v>
      </x:c>
      <x:c r="M1" s="14" t="str">
        <x:v>Scoring Notes</x:v>
      </x:c>
    </x:row>
    <x:row r="2" ht="42" customHeight="1">
      <x:c r="A2" s="15" t="str">
        <x:v>CWE-89: Improper Neutralization of Special Elements used in an SQL Command ('SQL Injection')</x:v>
      </x:c>
      <x:c r="B2" s="17" t="n">
        <x:v>15</x:v>
      </x:c>
      <x:c r="C2" s="17" t="n">
        <x:v>5</x:v>
      </x:c>
      <x:c r="D2" s="17" t="n">
        <x:v>15</x:v>
      </x:c>
      <x:c r="E2" s="17" t="n">
        <x:v>9</x:v>
      </x:c>
      <x:c r="F2" s="18" t="n">
        <x:f>C2</x:f>
        <x:v>5</x:v>
      </x:c>
      <x:c r="G2" s="17" t="n">
        <x:v>9</x:v>
      </x:c>
      <x:c r="H2" s="18" t="n">
        <x:f>SUM(D2:E2,G2)</x:f>
        <x:v>33</x:v>
      </x:c>
      <x:c r="I2" s="18" t="n">
        <x:f>SUM(C2,F2)</x:f>
        <x:v>10</x:v>
      </x:c>
      <x:c r="J2" s="19" t="n">
        <x:f>B2*H2*I2</x:f>
        <x:v>4950</x:v>
      </x:c>
      <x:c r="K2" s="19" t="n">
        <x:f>1+COUNTIFS($J$2:$J$20,"&gt;"&amp;J2)</x:f>
        <x:v>1</x:v>
      </x:c>
      <x:c r="L2" s="3" t="str">
        <x:v>https://cwe.mitre.org/data/definitions/89.html</x:v>
      </x:c>
      <x:c r="M2" s="15" t="str">
        <x:v>Damage counts 5 Common Consequences rows under the written rule; those rows contain 6 listed impact entries; CWE snapshot 2026-10-28.</x:v>
      </x:c>
    </x:row>
    <x:row r="3" ht="42" customHeight="1">
      <x:c r="A3" s="15" t="str">
        <x:v>CWE-862: Missing Authorization</x:v>
      </x:c>
      <x:c r="B3" s="17" t="n">
        <x:v>13</x:v>
      </x:c>
      <x:c r="C3" s="17" t="n">
        <x:v>4</x:v>
      </x:c>
      <x:c r="D3" s="17" t="n">
        <x:v>25</x:v>
      </x:c>
      <x:c r="E3" s="17" t="n">
        <x:v>9</x:v>
      </x:c>
      <x:c r="F3" s="18" t="n">
        <x:f>C3</x:f>
        <x:v>4</x:v>
      </x:c>
      <x:c r="G3" s="17" t="n">
        <x:v>9</x:v>
      </x:c>
      <x:c r="H3" s="18" t="n">
        <x:f>SUM(D3:E3,G3)</x:f>
        <x:v>43</x:v>
      </x:c>
      <x:c r="I3" s="18" t="n">
        <x:f>SUM(C3,F3)</x:f>
        <x:v>8</x:v>
      </x:c>
      <x:c r="J3" s="19" t="n">
        <x:f>B3*H3*I3</x:f>
        <x:v>4472</x:v>
      </x:c>
      <x:c r="K3" s="19" t="n">
        <x:f>1+COUNTIFS($J$2:$J$20,"&gt;"&amp;J3)</x:f>
        <x:v>2</x:v>
      </x:c>
      <x:c r="L3" s="3" t="str">
        <x:v>https://cwe.mitre.org/data/definitions/862.html</x:v>
      </x:c>
      <x:c r="M3" s="15" t="str">
        <x:v>Damage counts 4 Common Consequences rows under the written rule; those rows contain 10 listed impact entries; CWE snapshot 2026-10-28.</x:v>
      </x:c>
    </x:row>
    <x:row r="4" ht="42" customHeight="1">
      <x:c r="A4" s="15" t="str">
        <x:v>CWE-20: Improper Input Validation</x:v>
      </x:c>
      <x:c r="B4" s="17" t="n">
        <x:v>11</x:v>
      </x:c>
      <x:c r="C4" s="17" t="n">
        <x:v>3</x:v>
      </x:c>
      <x:c r="D4" s="17" t="n">
        <x:v>43</x:v>
      </x:c>
      <x:c r="E4" s="17" t="n">
        <x:v>9</x:v>
      </x:c>
      <x:c r="F4" s="18" t="n">
        <x:f>C4</x:f>
        <x:v>3</x:v>
      </x:c>
      <x:c r="G4" s="17" t="n">
        <x:v>10</x:v>
      </x:c>
      <x:c r="H4" s="18" t="n">
        <x:f>SUM(D4:E4,G4)</x:f>
        <x:v>62</x:v>
      </x:c>
      <x:c r="I4" s="18" t="n">
        <x:f>SUM(C4,F4)</x:f>
        <x:v>6</x:v>
      </x:c>
      <x:c r="J4" s="19" t="n">
        <x:f>B4*H4*I4</x:f>
        <x:v>4092</x:v>
      </x:c>
      <x:c r="K4" s="19" t="n">
        <x:f>1+COUNTIFS($J$2:$J$20,"&gt;"&amp;J4)</x:f>
        <x:v>3</x:v>
      </x:c>
      <x:c r="L4" s="3" t="str">
        <x:v>https://cwe.mitre.org/data/definitions/20.html</x:v>
      </x:c>
      <x:c r="M4" s="15" t="str">
        <x:v>Damage counts 3 Common Consequences rows under the written rule; those rows contain 7 listed impact entries; CWE snapshot 2026-10-28; Discoverability 10 is an actual method count, not a default.</x:v>
      </x:c>
    </x:row>
    <x:row r="5" ht="42" customHeight="1">
      <x:c r="A5" s="15" t="str">
        <x:v>CWE-863: Incorrect Authorization</x:v>
      </x:c>
      <x:c r="B5" s="17" t="n">
        <x:v>11</x:v>
      </x:c>
      <x:c r="C5" s="17" t="n">
        <x:v>5</x:v>
      </x:c>
      <x:c r="D5" s="17" t="n">
        <x:v>13</x:v>
      </x:c>
      <x:c r="E5" s="17" t="n">
        <x:v>9</x:v>
      </x:c>
      <x:c r="F5" s="18" t="n">
        <x:f>C5</x:f>
        <x:v>5</x:v>
      </x:c>
      <x:c r="G5" s="17" t="n">
        <x:v>9</x:v>
      </x:c>
      <x:c r="H5" s="18" t="n">
        <x:f>SUM(D5:E5,G5)</x:f>
        <x:v>31</x:v>
      </x:c>
      <x:c r="I5" s="18" t="n">
        <x:f>SUM(C5,F5)</x:f>
        <x:v>10</x:v>
      </x:c>
      <x:c r="J5" s="19" t="n">
        <x:f>B5*H5*I5</x:f>
        <x:v>3410</x:v>
      </x:c>
      <x:c r="K5" s="19" t="n">
        <x:f>1+COUNTIFS($J$2:$J$20,"&gt;"&amp;J5)</x:f>
        <x:v>4</x:v>
      </x:c>
      <x:c r="L5" s="3" t="str">
        <x:v>https://cwe.mitre.org/data/definitions/863.html</x:v>
      </x:c>
      <x:c r="M5" s="15" t="str">
        <x:v>Damage counts 5 Common Consequences rows under the written rule; those rows contain 11 listed impact entries; CWE snapshot 2026-10-28.</x:v>
      </x:c>
    </x:row>
    <x:row r="6" ht="42" customHeight="1">
      <x:c r="A6" s="15" t="str">
        <x:v>CWE-79: Improper Neutralization of Input During Web Page Generation ('Cross-site Scripting')</x:v>
      </x:c>
      <x:c r="B6" s="17" t="n">
        <x:v>10</x:v>
      </x:c>
      <x:c r="C6" s="17" t="n">
        <x:v>3</x:v>
      </x:c>
      <x:c r="D6" s="17" t="n">
        <x:v>20</x:v>
      </x:c>
      <x:c r="E6" s="17" t="n">
        <x:v>9</x:v>
      </x:c>
      <x:c r="F6" s="18" t="n">
        <x:f>C6</x:f>
        <x:v>3</x:v>
      </x:c>
      <x:c r="G6" s="17" t="n">
        <x:v>2</x:v>
      </x:c>
      <x:c r="H6" s="18" t="n">
        <x:f>SUM(D6:E6,G6)</x:f>
        <x:v>31</x:v>
      </x:c>
      <x:c r="I6" s="18" t="n">
        <x:f>SUM(C6,F6)</x:f>
        <x:v>6</x:v>
      </x:c>
      <x:c r="J6" s="19" t="n">
        <x:f>B6*H6*I6</x:f>
        <x:v>1860</x:v>
      </x:c>
      <x:c r="K6" s="19" t="n">
        <x:f>1+COUNTIFS($J$2:$J$20,"&gt;"&amp;J6)</x:f>
        <x:v>5</x:v>
      </x:c>
      <x:c r="L6" s="3" t="str">
        <x:v>https://cwe.mitre.org/data/definitions/79.html</x:v>
      </x:c>
      <x:c r="M6" s="15" t="str">
        <x:v>Damage counts 3 Common Consequences rows under the written rule; those rows contain 6 listed impact entries; CWE snapshot 2026-10-28.</x:v>
      </x:c>
    </x:row>
    <x:row r="7" ht="42" customHeight="1">
      <x:c r="A7" s="15" t="str">
        <x:v>CWE-22: Improper Limitation of a Pathname to a Restricted Directory ('Path Traversal')</x:v>
      </x:c>
      <x:c r="B7" s="17" t="n">
        <x:v>5</x:v>
      </x:c>
      <x:c r="C7" s="17" t="n">
        <x:v>4</x:v>
      </x:c>
      <x:c r="D7" s="17" t="n">
        <x:v>23</x:v>
      </x:c>
      <x:c r="E7" s="17" t="n">
        <x:v>9</x:v>
      </x:c>
      <x:c r="F7" s="18" t="n">
        <x:f>C7</x:f>
        <x:v>4</x:v>
      </x:c>
      <x:c r="G7" s="17" t="n">
        <x:v>9</x:v>
      </x:c>
      <x:c r="H7" s="18" t="n">
        <x:f>SUM(D7:E7,G7)</x:f>
        <x:v>41</x:v>
      </x:c>
      <x:c r="I7" s="18" t="n">
        <x:f>SUM(C7,F7)</x:f>
        <x:v>8</x:v>
      </x:c>
      <x:c r="J7" s="19" t="n">
        <x:f>B7*H7*I7</x:f>
        <x:v>1640</x:v>
      </x:c>
      <x:c r="K7" s="19" t="n">
        <x:f>1+COUNTIFS($J$2:$J$20,"&gt;"&amp;J7)</x:f>
        <x:v>6</x:v>
      </x:c>
      <x:c r="L7" s="3" t="str">
        <x:v>https://cwe.mitre.org/data/definitions/22.html</x:v>
      </x:c>
      <x:c r="M7" s="15" t="str">
        <x:v>Damage counts 4 Common Consequences rows under the written rule; CWE snapshot 2026-10-28.</x:v>
      </x:c>
    </x:row>
    <x:row r="8" ht="42" customHeight="1">
      <x:c r="A8" s="15" t="str">
        <x:v>CWE-94: Improper Control of Generation of Code ('Code Injection')</x:v>
      </x:c>
      <x:c r="B8" s="17" t="n">
        <x:v>3</x:v>
      </x:c>
      <x:c r="C8" s="17" t="n">
        <x:v>4</x:v>
      </x:c>
      <x:c r="D8" s="17" t="n">
        <x:v>22</x:v>
      </x:c>
      <x:c r="E8" s="17" t="n">
        <x:v>5</x:v>
      </x:c>
      <x:c r="F8" s="18" t="n">
        <x:f>C8</x:f>
        <x:v>4</x:v>
      </x:c>
      <x:c r="G8" s="17" t="n">
        <x:v>1</x:v>
      </x:c>
      <x:c r="H8" s="18" t="n">
        <x:f>SUM(D8:E8,G8)</x:f>
        <x:v>28</x:v>
      </x:c>
      <x:c r="I8" s="18" t="n">
        <x:f>SUM(C8,F8)</x:f>
        <x:v>8</x:v>
      </x:c>
      <x:c r="J8" s="19" t="n">
        <x:f>B8*H8*I8</x:f>
        <x:v>672</x:v>
      </x:c>
      <x:c r="K8" s="19" t="n">
        <x:f>1+COUNTIFS($J$2:$J$20,"&gt;"&amp;J8)</x:f>
        <x:v>7</x:v>
      </x:c>
      <x:c r="L8" s="3" t="str">
        <x:v>https://cwe.mitre.org/data/definitions/94.html</x:v>
      </x:c>
      <x:c r="M8" s="15" t="str">
        <x:v>Damage counts 4 Common Consequences rows under the written rule; CWE snapshot 2026-10-28.</x:v>
      </x:c>
    </x:row>
    <x:row r="9" ht="42" customHeight="1">
      <x:c r="A9" s="15" t="str">
        <x:v>CWE-918: Server-Side Request Forgery (SSRF)</x:v>
      </x:c>
      <x:c r="B9" s="17" t="n">
        <x:v>4</x:v>
      </x:c>
      <x:c r="C9" s="17" t="n">
        <x:v>3</x:v>
      </x:c>
      <x:c r="D9" s="17" t="n">
        <x:v>10</x:v>
      </x:c>
      <x:c r="E9" s="17" t="n">
        <x:v>10</x:v>
      </x:c>
      <x:c r="F9" s="18" t="n">
        <x:f>C9</x:f>
        <x:v>3</x:v>
      </x:c>
      <x:c r="G9" s="17" t="n">
        <x:v>1</x:v>
      </x:c>
      <x:c r="H9" s="18" t="n">
        <x:f>SUM(D9:E9,G9)</x:f>
        <x:v>21</x:v>
      </x:c>
      <x:c r="I9" s="18" t="n">
        <x:f>SUM(C9,F9)</x:f>
        <x:v>6</x:v>
      </x:c>
      <x:c r="J9" s="19" t="n">
        <x:f>B9*H9*I9</x:f>
        <x:v>504</x:v>
      </x:c>
      <x:c r="K9" s="19" t="n">
        <x:f>1+COUNTIFS($J$2:$J$20,"&gt;"&amp;J9)</x:f>
        <x:v>8</x:v>
      </x:c>
      <x:c r="L9" s="3" t="str">
        <x:v>https://cwe.mitre.org/data/definitions/918.html</x:v>
      </x:c>
      <x:c r="M9" s="15" t="str">
        <x:v>Damage counts 3 Common Consequences rows under the written rule; CWE snapshot 2026-10-28; Exploitability=10: Likelihood Of Exploit unavailable.</x:v>
      </x:c>
    </x:row>
    <x:row r="10" ht="42" customHeight="1">
      <x:c r="A10" s="15" t="str">
        <x:v>CWE-798: Use of Hard-coded Credentials</x:v>
      </x:c>
      <x:c r="B10" s="17" t="n">
        <x:v>3</x:v>
      </x:c>
      <x:c r="C10" s="17" t="n">
        <x:v>2</x:v>
      </x:c>
      <x:c r="D10" s="17" t="n">
        <x:v>20</x:v>
      </x:c>
      <x:c r="E10" s="17" t="n">
        <x:v>9</x:v>
      </x:c>
      <x:c r="F10" s="18" t="n">
        <x:f>C10</x:f>
        <x:v>2</x:v>
      </x:c>
      <x:c r="G10" s="17" t="n">
        <x:v>10</x:v>
      </x:c>
      <x:c r="H10" s="18" t="n">
        <x:f>SUM(D10:E10,G10)</x:f>
        <x:v>39</x:v>
      </x:c>
      <x:c r="I10" s="18" t="n">
        <x:f>SUM(C10,F10)</x:f>
        <x:v>4</x:v>
      </x:c>
      <x:c r="J10" s="19" t="n">
        <x:f>B10*H10*I10</x:f>
        <x:v>468</x:v>
      </x:c>
      <x:c r="K10" s="19" t="n">
        <x:f>1+COUNTIFS($J$2:$J$20,"&gt;"&amp;J10)</x:f>
        <x:v>9</x:v>
      </x:c>
      <x:c r="L10" s="3" t="str">
        <x:v>https://cwe.mitre.org/data/definitions/798.html</x:v>
      </x:c>
      <x:c r="M10" s="15" t="str">
        <x:v>Damage counts 2 Common Consequences rows under the written rule; those rows contain 5 listed impact entries; CWE snapshot 2026-10-28; Discoverability 10 is an actual method count, not a default.</x:v>
      </x:c>
    </x:row>
    <x:row r="11" ht="42" customHeight="1">
      <x:c r="A11" s="15" t="str">
        <x:v>CWE-269: Improper Privilege Management</x:v>
      </x:c>
      <x:c r="B11" s="17" t="n">
        <x:v>11</x:v>
      </x:c>
      <x:c r="C11" s="17" t="n">
        <x:v>1</x:v>
      </x:c>
      <x:c r="D11" s="17" t="n">
        <x:v>15</x:v>
      </x:c>
      <x:c r="E11" s="17" t="n">
        <x:v>5</x:v>
      </x:c>
      <x:c r="F11" s="18" t="n">
        <x:f>C11</x:f>
        <x:v>1</x:v>
      </x:c>
      <x:c r="G11" s="17" t="n">
        <x:v>1</x:v>
      </x:c>
      <x:c r="H11" s="18" t="n">
        <x:f>SUM(D11:E11,G11)</x:f>
        <x:v>21</x:v>
      </x:c>
      <x:c r="I11" s="18" t="n">
        <x:f>SUM(C11,F11)</x:f>
        <x:v>2</x:v>
      </x:c>
      <x:c r="J11" s="19" t="n">
        <x:f>B11*H11*I11</x:f>
        <x:v>462</x:v>
      </x:c>
      <x:c r="K11" s="19" t="n">
        <x:f>1+COUNTIFS($J$2:$J$20,"&gt;"&amp;J11)</x:f>
        <x:v>10</x:v>
      </x:c>
      <x:c r="L11" s="3" t="str">
        <x:v>https://cwe.mitre.org/data/definitions/269.html</x:v>
      </x:c>
      <x:c r="M11" s="15" t="str">
        <x:v>Damage counts 1 Common Consequences rows under the written rule; CWE snapshot 2026-10-28.</x:v>
      </x:c>
    </x:row>
    <x:row r="12" ht="42" customHeight="1">
      <x:c r="A12" s="15" t="str">
        <x:v>CWE-287: Improper Authentication</x:v>
      </x:c>
      <x:c r="B12" s="17" t="n">
        <x:v>4</x:v>
      </x:c>
      <x:c r="C12" s="17" t="n">
        <x:v>1</x:v>
      </x:c>
      <x:c r="D12" s="17" t="n">
        <x:v>33</x:v>
      </x:c>
      <x:c r="E12" s="17" t="n">
        <x:v>9</x:v>
      </x:c>
      <x:c r="F12" s="18" t="n">
        <x:f>C12</x:f>
        <x:v>1</x:v>
      </x:c>
      <x:c r="G12" s="17" t="n">
        <x:v>8</x:v>
      </x:c>
      <x:c r="H12" s="18" t="n">
        <x:f>SUM(D12:E12,G12)</x:f>
        <x:v>50</x:v>
      </x:c>
      <x:c r="I12" s="18" t="n">
        <x:f>SUM(C12,F12)</x:f>
        <x:v>2</x:v>
      </x:c>
      <x:c r="J12" s="19" t="n">
        <x:f>B12*H12*I12</x:f>
        <x:v>400</x:v>
      </x:c>
      <x:c r="K12" s="19" t="n">
        <x:f>1+COUNTIFS($J$2:$J$20,"&gt;"&amp;J12)</x:f>
        <x:v>11</x:v>
      </x:c>
      <x:c r="L12" s="3" t="str">
        <x:v>https://cwe.mitre.org/data/definitions/287.html</x:v>
      </x:c>
      <x:c r="M12" s="15" t="str">
        <x:v>Damage counts 1 Common Consequences rows under the written rule; those rows contain 3 listed impact entries; CWE snapshot 2026-10-28.</x:v>
      </x:c>
    </x:row>
    <x:row r="13" ht="42" customHeight="1">
      <x:c r="A13" s="15" t="str">
        <x:v>CWE-502: Deserialization of Untrusted Data</x:v>
      </x:c>
      <x:c r="B13" s="17" t="n">
        <x:v>3</x:v>
      </x:c>
      <x:c r="C13" s="17" t="n">
        <x:v>3</x:v>
      </x:c>
      <x:c r="D13" s="17" t="n">
        <x:v>13</x:v>
      </x:c>
      <x:c r="E13" s="17" t="n">
        <x:v>5</x:v>
      </x:c>
      <x:c r="F13" s="18" t="n">
        <x:f>C13</x:f>
        <x:v>3</x:v>
      </x:c>
      <x:c r="G13" s="17" t="n">
        <x:v>1</x:v>
      </x:c>
      <x:c r="H13" s="18" t="n">
        <x:f>SUM(D13:E13,G13)</x:f>
        <x:v>19</x:v>
      </x:c>
      <x:c r="I13" s="18" t="n">
        <x:f>SUM(C13,F13)</x:f>
        <x:v>6</x:v>
      </x:c>
      <x:c r="J13" s="19" t="n">
        <x:f>B13*H13*I13</x:f>
        <x:v>342</x:v>
      </x:c>
      <x:c r="K13" s="19" t="n">
        <x:f>1+COUNTIFS($J$2:$J$20,"&gt;"&amp;J13)</x:f>
        <x:v>12</x:v>
      </x:c>
      <x:c r="L13" s="3" t="str">
        <x:v>https://cwe.mitre.org/data/definitions/502.html</x:v>
      </x:c>
      <x:c r="M13" s="15" t="str">
        <x:v>Damage counts 3 Common Consequences rows under the written rule; those rows contain 4 listed impact entries; CWE snapshot 2026-10-28; Reproducibility counts 13 listed CVE references; CVE-2012-0911 appears twice, giving 12 distinct IDs.</x:v>
      </x:c>
    </x:row>
    <x:row r="14" ht="42" customHeight="1">
      <x:c r="A14" s="15" t="str">
        <x:v>CWE-78: Improper Neutralization of Special Elements used in an OS Command ('OS Command Injection')</x:v>
      </x:c>
      <x:c r="B14" s="17" t="n">
        <x:v>4</x:v>
      </x:c>
      <x:c r="C14" s="17" t="n">
        <x:v>1</x:v>
      </x:c>
      <x:c r="D14" s="17" t="n">
        <x:v>19</x:v>
      </x:c>
      <x:c r="E14" s="17" t="n">
        <x:v>9</x:v>
      </x:c>
      <x:c r="F14" s="18" t="n">
        <x:f>C14</x:f>
        <x:v>1</x:v>
      </x:c>
      <x:c r="G14" s="17" t="n">
        <x:v>9</x:v>
      </x:c>
      <x:c r="H14" s="18" t="n">
        <x:f>SUM(D14:E14,G14)</x:f>
        <x:v>37</x:v>
      </x:c>
      <x:c r="I14" s="18" t="n">
        <x:f>SUM(C14,F14)</x:f>
        <x:v>2</x:v>
      </x:c>
      <x:c r="J14" s="19" t="n">
        <x:f>B14*H14*I14</x:f>
        <x:v>296</x:v>
      </x:c>
      <x:c r="K14" s="19" t="n">
        <x:f>1+COUNTIFS($J$2:$J$20,"&gt;"&amp;J14)</x:f>
        <x:v>13</x:v>
      </x:c>
      <x:c r="L14" s="3" t="str">
        <x:v>https://cwe.mitre.org/data/definitions/78.html</x:v>
      </x:c>
      <x:c r="M14" s="15" t="str">
        <x:v>Damage counts 1 Common Consequences rows under the written rule; those rows contain 7 listed impact entries; CWE snapshot 2026-10-28.</x:v>
      </x:c>
    </x:row>
    <x:row r="15" ht="42" customHeight="1">
      <x:c r="A15" s="15" t="str">
        <x:v>CWE-200: Exposure of Sensitive Information to an Unauthorized Actor</x:v>
      </x:c>
      <x:c r="B15" s="17" t="n">
        <x:v>4</x:v>
      </x:c>
      <x:c r="C15" s="17" t="n">
        <x:v>1</x:v>
      </x:c>
      <x:c r="D15" s="17" t="n">
        <x:v>19</x:v>
      </x:c>
      <x:c r="E15" s="17" t="n">
        <x:v>9</x:v>
      </x:c>
      <x:c r="F15" s="18" t="n">
        <x:f>C15</x:f>
        <x:v>1</x:v>
      </x:c>
      <x:c r="G15" s="17" t="n">
        <x:v>6</x:v>
      </x:c>
      <x:c r="H15" s="18" t="n">
        <x:f>SUM(D15:E15,G15)</x:f>
        <x:v>34</x:v>
      </x:c>
      <x:c r="I15" s="18" t="n">
        <x:f>SUM(C15,F15)</x:f>
        <x:v>2</x:v>
      </x:c>
      <x:c r="J15" s="19" t="n">
        <x:f>B15*H15*I15</x:f>
        <x:v>272</x:v>
      </x:c>
      <x:c r="K15" s="19" t="n">
        <x:f>1+COUNTIFS($J$2:$J$20,"&gt;"&amp;J15)</x:f>
        <x:v>14</x:v>
      </x:c>
      <x:c r="L15" s="3" t="str">
        <x:v>https://cwe.mitre.org/data/definitions/200.html</x:v>
      </x:c>
      <x:c r="M15" s="15" t="str">
        <x:v>Damage counts 1 Common Consequences rows under the written rule; CWE snapshot 2026-10-28. Equal weighted risk shares competition rank 14.</x:v>
      </x:c>
    </x:row>
    <x:row r="16" ht="42" customHeight="1">
      <x:c r="A16" s="15" t="str">
        <x:v>CWE-306: Missing Authentication for Critical Function</x:v>
      </x:c>
      <x:c r="B16" s="17" t="n">
        <x:v>4</x:v>
      </x:c>
      <x:c r="C16" s="17" t="n">
        <x:v>1</x:v>
      </x:c>
      <x:c r="D16" s="17" t="n">
        <x:v>17</x:v>
      </x:c>
      <x:c r="E16" s="17" t="n">
        <x:v>9</x:v>
      </x:c>
      <x:c r="F16" s="18" t="n">
        <x:f>C16</x:f>
        <x:v>1</x:v>
      </x:c>
      <x:c r="G16" s="17" t="n">
        <x:v>8</x:v>
      </x:c>
      <x:c r="H16" s="18" t="n">
        <x:f>SUM(D16:E16,G16)</x:f>
        <x:v>34</x:v>
      </x:c>
      <x:c r="I16" s="18" t="n">
        <x:f>SUM(C16,F16)</x:f>
        <x:v>2</x:v>
      </x:c>
      <x:c r="J16" s="19" t="n">
        <x:f>B16*H16*I16</x:f>
        <x:v>272</x:v>
      </x:c>
      <x:c r="K16" s="19" t="n">
        <x:f>1+COUNTIFS($J$2:$J$20,"&gt;"&amp;J16)</x:f>
        <x:v>14</x:v>
      </x:c>
      <x:c r="L16" s="3" t="str">
        <x:v>https://cwe.mitre.org/data/definitions/306.html</x:v>
      </x:c>
      <x:c r="M16" s="15" t="str">
        <x:v>Damage counts 1 Common Consequences rows under the written rule; those rows contain 2 listed impact entries; CWE snapshot 2026-10-28. Equal weighted risk shares competition rank 14.</x:v>
      </x:c>
    </x:row>
    <x:row r="17" ht="42" customHeight="1">
      <x:c r="A17" s="15" t="str">
        <x:v>CWE-400: Uncontrolled Resource Consumption</x:v>
      </x:c>
      <x:c r="B17" s="17" t="n">
        <x:v>2</x:v>
      </x:c>
      <x:c r="C17" s="17" t="n">
        <x:v>2</x:v>
      </x:c>
      <x:c r="D17" s="17" t="n">
        <x:v>17</x:v>
      </x:c>
      <x:c r="E17" s="17" t="n">
        <x:v>9</x:v>
      </x:c>
      <x:c r="F17" s="18" t="n">
        <x:f>C17</x:f>
        <x:v>2</x:v>
      </x:c>
      <x:c r="G17" s="17" t="n">
        <x:v>3</x:v>
      </x:c>
      <x:c r="H17" s="18" t="n">
        <x:f>SUM(D17:E17,G17)</x:f>
        <x:v>29</x:v>
      </x:c>
      <x:c r="I17" s="18" t="n">
        <x:f>SUM(C17,F17)</x:f>
        <x:v>4</x:v>
      </x:c>
      <x:c r="J17" s="19" t="n">
        <x:f>B17*H17*I17</x:f>
        <x:v>232</x:v>
      </x:c>
      <x:c r="K17" s="19" t="n">
        <x:f>1+COUNTIFS($J$2:$J$20,"&gt;"&amp;J17)</x:f>
        <x:v>16</x:v>
      </x:c>
      <x:c r="L17" s="3" t="str">
        <x:v>https://cwe.mitre.org/data/definitions/400.html</x:v>
      </x:c>
      <x:c r="M17" s="15" t="str">
        <x:v>Damage counts 2 Common Consequences rows under the written rule; those rows contain 6 listed impact entries; CWE snapshot 2026-10-28.</x:v>
      </x:c>
    </x:row>
    <x:row r="18" ht="42" customHeight="1">
      <x:c r="A18" s="15" t="str">
        <x:v>CWE-77: Improper Neutralization of Special Elements used in a Command ('Command Injection')</x:v>
      </x:c>
      <x:c r="B18" s="17" t="n">
        <x:v>4</x:v>
      </x:c>
      <x:c r="C18" s="17" t="n">
        <x:v>1</x:v>
      </x:c>
      <x:c r="D18" s="17" t="n">
        <x:v>9</x:v>
      </x:c>
      <x:c r="E18" s="17" t="n">
        <x:v>9</x:v>
      </x:c>
      <x:c r="F18" s="18" t="n">
        <x:f>C18</x:f>
        <x:v>1</x:v>
      </x:c>
      <x:c r="G18" s="17" t="n">
        <x:v>1</x:v>
      </x:c>
      <x:c r="H18" s="18" t="n">
        <x:f>SUM(D18:E18,G18)</x:f>
        <x:v>19</x:v>
      </x:c>
      <x:c r="I18" s="18" t="n">
        <x:f>SUM(C18,F18)</x:f>
        <x:v>2</x:v>
      </x:c>
      <x:c r="J18" s="19" t="n">
        <x:f>B18*H18*I18</x:f>
        <x:v>152</x:v>
      </x:c>
      <x:c r="K18" s="19" t="n">
        <x:f>1+COUNTIFS($J$2:$J$20,"&gt;"&amp;J18)</x:f>
        <x:v>17</x:v>
      </x:c>
      <x:c r="L18" s="3" t="str">
        <x:v>https://cwe.mitre.org/data/definitions/77.html</x:v>
      </x:c>
      <x:c r="M18" s="15" t="str">
        <x:v>Damage counts 1 Common Consequences rows under the written rule; CWE snapshot 2026-10-28.</x:v>
      </x:c>
    </x:row>
    <x:row r="19" ht="42" customHeight="1">
      <x:c r="A19" s="15" t="str">
        <x:v>CWE-352: Cross-Site Request Forgery (CSRF)</x:v>
      </x:c>
      <x:c r="B19" s="17" t="n">
        <x:v>3</x:v>
      </x:c>
      <x:c r="C19" s="17" t="n">
        <x:v>1</x:v>
      </x:c>
      <x:c r="D19" s="17" t="n">
        <x:v>10</x:v>
      </x:c>
      <x:c r="E19" s="17" t="n">
        <x:v>5</x:v>
      </x:c>
      <x:c r="F19" s="18" t="n">
        <x:f>C19</x:f>
        <x:v>1</x:v>
      </x:c>
      <x:c r="G19" s="17" t="n">
        <x:v>9</x:v>
      </x:c>
      <x:c r="H19" s="18" t="n">
        <x:f>SUM(D19:E19,G19)</x:f>
        <x:v>24</x:v>
      </x:c>
      <x:c r="I19" s="18" t="n">
        <x:f>SUM(C19,F19)</x:f>
        <x:v>2</x:v>
      </x:c>
      <x:c r="J19" s="19" t="n">
        <x:f>B19*H19*I19</x:f>
        <x:v>144</x:v>
      </x:c>
      <x:c r="K19" s="19" t="n">
        <x:f>1+COUNTIFS($J$2:$J$20,"&gt;"&amp;J19)</x:f>
        <x:v>18</x:v>
      </x:c>
      <x:c r="L19" s="3" t="str">
        <x:v>https://cwe.mitre.org/data/definitions/352.html</x:v>
      </x:c>
      <x:c r="M19" s="15" t="str">
        <x:v>Damage counts 1 Common Consequences rows under the written rule; those rows contain 5 listed impact entries; CWE snapshot 2026-10-28.</x:v>
      </x:c>
    </x:row>
    <x:row r="20" ht="42" customHeight="1">
      <x:c r="A20" s="15" t="str">
        <x:v>CWE-434: Unrestricted Upload of File with Dangerous Type</x:v>
      </x:c>
      <x:c r="B20" s="17" t="n">
        <x:v>3</x:v>
      </x:c>
      <x:c r="C20" s="17" t="n">
        <x:v>1</x:v>
      </x:c>
      <x:c r="D20" s="17" t="n">
        <x:v>11</x:v>
      </x:c>
      <x:c r="E20" s="17" t="n">
        <x:v>5</x:v>
      </x:c>
      <x:c r="F20" s="18" t="n">
        <x:f>C20</x:f>
        <x:v>1</x:v>
      </x:c>
      <x:c r="G20" s="17" t="n">
        <x:v>5</x:v>
      </x:c>
      <x:c r="H20" s="18" t="n">
        <x:f>SUM(D20:E20,G20)</x:f>
        <x:v>21</x:v>
      </x:c>
      <x:c r="I20" s="18" t="n">
        <x:f>SUM(C20,F20)</x:f>
        <x:v>2</x:v>
      </x:c>
      <x:c r="J20" s="19" t="n">
        <x:f>B20*H20*I20</x:f>
        <x:v>126</x:v>
      </x:c>
      <x:c r="K20" s="19" t="n">
        <x:f>1+COUNTIFS($J$2:$J$20,"&gt;"&amp;J20)</x:f>
        <x:v>19</x:v>
      </x:c>
      <x:c r="L20" s="3" t="str">
        <x:v>https://cwe.mitre.org/data/definitions/434.html</x:v>
      </x:c>
      <x:c r="M20" s="15" t="str">
        <x:v>Damage counts 1 Common Consequences rows under the written rule; CWE snapshot 2026-10-28.</x:v>
      </x:c>
    </x:row>
  </x:sheetData>
  <x:pageMargins left="0.7" right="0.7" top="0.75" bottom="0.75" header="0.3" footer="0.3"/>
</x:worksheet>
</file>